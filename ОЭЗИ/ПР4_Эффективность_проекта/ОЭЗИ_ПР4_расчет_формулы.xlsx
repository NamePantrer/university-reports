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ПР4. Эффективность ИС «АудитИБ» (формулы)</t>
        </is>
      </c>
    </row>
    <row r="3">
      <c r="A3" t="inlineStr">
        <is>
          <t>I, руб.</t>
        </is>
      </c>
      <c r="B3" t="n">
        <v>480000</v>
      </c>
    </row>
    <row r="4">
      <c r="A4" t="inlineStr">
        <is>
          <t>R</t>
        </is>
      </c>
      <c r="B4" t="n">
        <v>0.15</v>
      </c>
    </row>
    <row r="5">
      <c r="A5" t="inlineStr">
        <is>
          <t>L, руб.</t>
        </is>
      </c>
      <c r="B5" t="n">
        <v>40000</v>
      </c>
    </row>
    <row r="6">
      <c r="A6" t="inlineStr">
        <is>
          <t>P, руб./клиент</t>
        </is>
      </c>
      <c r="B6" t="n">
        <v>80000</v>
      </c>
    </row>
    <row r="7">
      <c r="A7" t="inlineStr">
        <is>
          <t>V, руб./клиент</t>
        </is>
      </c>
      <c r="B7" t="n">
        <v>15000</v>
      </c>
    </row>
    <row r="8">
      <c r="A8" t="inlineStr">
        <is>
          <t>F, руб./год</t>
        </is>
      </c>
      <c r="B8" t="n">
        <v>260000</v>
      </c>
    </row>
    <row r="9">
      <c r="A9" t="inlineStr">
        <is>
          <t>Спрос Q, клиентов</t>
        </is>
      </c>
      <c r="B9" t="n">
        <v>8</v>
      </c>
    </row>
    <row r="11">
      <c r="A11" s="1" t="inlineStr">
        <is>
          <t>Год t</t>
        </is>
      </c>
      <c r="B11" s="1" t="inlineStr">
        <is>
          <t>CIF</t>
        </is>
      </c>
      <c r="C11" s="1" t="inlineStr">
        <is>
          <t>COF</t>
        </is>
      </c>
      <c r="D11" s="1" t="inlineStr">
        <is>
          <t>NCF</t>
        </is>
      </c>
      <c r="E11" s="1" t="inlineStr">
        <is>
          <t>α_t</t>
        </is>
      </c>
      <c r="F11" s="1" t="inlineStr">
        <is>
          <t>PV</t>
        </is>
      </c>
      <c r="G11" s="1" t="inlineStr">
        <is>
          <t>Нараст. NCF</t>
        </is>
      </c>
      <c r="H11" s="1" t="inlineStr">
        <is>
          <t>Нараст. PV</t>
        </is>
      </c>
    </row>
    <row r="12">
      <c r="A12" t="n">
        <v>0</v>
      </c>
      <c r="D12">
        <f>-$B$3</f>
        <v/>
      </c>
      <c r="F12">
        <f>D12</f>
        <v/>
      </c>
      <c r="G12">
        <f>D12</f>
        <v/>
      </c>
      <c r="H12">
        <f>F12</f>
        <v/>
      </c>
    </row>
    <row r="13">
      <c r="A13" t="n">
        <v>1</v>
      </c>
      <c r="B13" t="n">
        <v>320000</v>
      </c>
      <c r="C13" t="n">
        <v>140000</v>
      </c>
      <c r="D13">
        <f>B13-C13</f>
        <v/>
      </c>
      <c r="E13">
        <f>1/(1+$B$4)^A13</f>
        <v/>
      </c>
      <c r="F13">
        <f>D13*E13</f>
        <v/>
      </c>
      <c r="G13">
        <f>G12+D13</f>
        <v/>
      </c>
      <c r="H13">
        <f>H12+F13</f>
        <v/>
      </c>
    </row>
    <row r="14">
      <c r="A14" t="n">
        <v>2</v>
      </c>
      <c r="B14" t="n">
        <v>380000</v>
      </c>
      <c r="C14" t="n">
        <v>160000</v>
      </c>
      <c r="D14">
        <f>B14-C14</f>
        <v/>
      </c>
      <c r="E14">
        <f>1/(1+$B$4)^A14</f>
        <v/>
      </c>
      <c r="F14">
        <f>D14*E14</f>
        <v/>
      </c>
      <c r="G14">
        <f>G13+D14</f>
        <v/>
      </c>
      <c r="H14">
        <f>H13+F14</f>
        <v/>
      </c>
    </row>
    <row r="15">
      <c r="A15" t="n">
        <v>3</v>
      </c>
      <c r="B15" t="n">
        <v>440000</v>
      </c>
      <c r="C15" t="n">
        <v>180000</v>
      </c>
      <c r="D15">
        <f>B15-C15</f>
        <v/>
      </c>
      <c r="E15">
        <f>1/(1+$B$4)^A15</f>
        <v/>
      </c>
      <c r="F15">
        <f>D15*E15</f>
        <v/>
      </c>
      <c r="G15">
        <f>G14+D15</f>
        <v/>
      </c>
      <c r="H15">
        <f>H14+F15</f>
        <v/>
      </c>
    </row>
    <row r="16">
      <c r="A16" t="n">
        <v>4</v>
      </c>
      <c r="B16" t="n">
        <v>500000</v>
      </c>
      <c r="C16" t="n">
        <v>200000</v>
      </c>
      <c r="D16">
        <f>B16-C16</f>
        <v/>
      </c>
      <c r="E16">
        <f>1/(1+$B$4)^A16</f>
        <v/>
      </c>
      <c r="F16">
        <f>D16*E16</f>
        <v/>
      </c>
      <c r="G16">
        <f>G15+D16</f>
        <v/>
      </c>
      <c r="H16">
        <f>H15+F16</f>
        <v/>
      </c>
    </row>
    <row r="18">
      <c r="A18" s="1" t="inlineStr">
        <is>
          <t>Показатель</t>
        </is>
      </c>
      <c r="B18" s="1" t="inlineStr">
        <is>
          <t>Значение</t>
        </is>
      </c>
    </row>
    <row r="19">
      <c r="A19" t="inlineStr">
        <is>
          <t>Qk = F/(P−V)</t>
        </is>
      </c>
      <c r="B19">
        <f>$B$8/($B$6-$B$7)</f>
        <v/>
      </c>
    </row>
    <row r="20">
      <c r="A20" t="inlineStr">
        <is>
          <t>RI</t>
        </is>
      </c>
      <c r="B20">
        <f>AVERAGE(D13:D16)/$B$3</f>
        <v/>
      </c>
    </row>
    <row r="21">
      <c r="A21" t="inlineStr">
        <is>
          <t>ARR</t>
        </is>
      </c>
      <c r="B21">
        <f>AVERAGE(D13:D16)/(0.5*($B$3+$B$5))</f>
        <v/>
      </c>
    </row>
    <row r="22">
      <c r="A22" t="inlineStr">
        <is>
          <t>NPV</t>
        </is>
      </c>
      <c r="B22">
        <f>NPV($B$4,D13:D16)-$B$3</f>
        <v/>
      </c>
    </row>
    <row r="23">
      <c r="A23" t="inlineStr">
        <is>
          <t>PI</t>
        </is>
      </c>
      <c r="B23">
        <f>SUM(F13:F16)/$B$3</f>
        <v/>
      </c>
    </row>
    <row r="24">
      <c r="A24" t="inlineStr">
        <is>
          <t>IRR</t>
        </is>
      </c>
      <c r="B24">
        <f>IRR(D12:D16)</f>
        <v/>
      </c>
    </row>
    <row r="25">
      <c r="A25" t="inlineStr">
        <is>
          <t>Аннуитет A</t>
        </is>
      </c>
      <c r="B25">
        <f>B22*$B$4*(1+$B$4)^4/((1+$B$4)^4-1)</f>
        <v/>
      </c>
    </row>
    <row r="26">
      <c r="A26" t="inlineStr">
        <is>
          <t>PP, лет</t>
        </is>
      </c>
      <c r="B26">
        <f>SUMPRODUCT(--(G13:G16&lt;0))+ABS(INDEX(G12:G16,SUMPRODUCT(--(G13:G16&lt;0))+1))/INDEX(D13:D16,SUMPRODUCT(--(G13:G16&lt;0))+1)</f>
        <v/>
      </c>
    </row>
    <row r="27">
      <c r="A27" t="inlineStr">
        <is>
          <t>DPP, лет</t>
        </is>
      </c>
      <c r="B27">
        <f>SUMPRODUCT(--(H13:H16&lt;0))+ABS(INDEX(H12:H16,SUMPRODUCT(--(H13:H16&lt;0))+1))/INDEX(F13:F16,SUMPRODUCT(--(H13:H16&lt;0))+1)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2026-10-07T23:17:22Z</dcterms:created>
  <dcterms:modified xmlns:dcterms="http://purl.org/dc/terms/" xmlns:xsi="http://www.w3.org/2001/XMLSchema-instance" xsi:type="dcterms:W3CDTF">2026-10-07T23:17:22Z</dcterms:modified>
</cp:coreProperties>
</file>