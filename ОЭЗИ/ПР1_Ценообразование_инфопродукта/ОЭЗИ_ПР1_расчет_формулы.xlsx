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1_цен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1" t="inlineStr">
        <is>
          <t>ПР1. Цена курса — четыре способа (формулы)</t>
        </is>
      </c>
    </row>
    <row r="3">
      <c r="A3" t="inlineStr">
        <is>
          <t>Статья затрат</t>
        </is>
      </c>
      <c r="B3" t="inlineStr">
        <is>
          <t>Сумма, руб.</t>
        </is>
      </c>
    </row>
    <row r="4">
      <c r="A4" t="inlineStr">
        <is>
          <t>Дизайн лендинга</t>
        </is>
      </c>
      <c r="B4" t="n">
        <v>12000</v>
      </c>
    </row>
    <row r="5">
      <c r="A5" t="inlineStr">
        <is>
          <t>Верстка лендинга</t>
        </is>
      </c>
      <c r="B5" t="n">
        <v>8000</v>
      </c>
    </row>
    <row r="6">
      <c r="A6" t="inlineStr">
        <is>
          <t>Продающий текст</t>
        </is>
      </c>
      <c r="B6" t="n">
        <v>9000</v>
      </c>
    </row>
    <row r="7">
      <c r="A7" t="inlineStr">
        <is>
          <t>Съемка и монтаж видео</t>
        </is>
      </c>
      <c r="B7" t="n">
        <v>24000</v>
      </c>
    </row>
    <row r="8">
      <c r="A8" t="inlineStr">
        <is>
          <t>Профессиональная озвучка</t>
        </is>
      </c>
      <c r="B8" t="n">
        <v>14000</v>
      </c>
    </row>
    <row r="9">
      <c r="A9" t="inlineStr">
        <is>
          <t>Реклама запуска курса</t>
        </is>
      </c>
      <c r="B9" t="n">
        <v>18000</v>
      </c>
    </row>
    <row r="10">
      <c r="A10" t="inlineStr">
        <is>
          <t>Прочие расходы (хостинг, сток, сервисы)</t>
        </is>
      </c>
      <c r="B10" t="n">
        <v>10000</v>
      </c>
    </row>
    <row r="11">
      <c r="A11" t="inlineStr">
        <is>
          <t>Итого затраты</t>
        </is>
      </c>
      <c r="B11">
        <f>SUM(B4:B10)</f>
        <v/>
      </c>
    </row>
    <row r="13">
      <c r="A13" t="inlineStr">
        <is>
          <t>Расчетное количество копий, шт.</t>
        </is>
      </c>
      <c r="B13" t="n">
        <v>50</v>
      </c>
    </row>
    <row r="14">
      <c r="A14" t="inlineStr">
        <is>
          <t>Норма прибыли</t>
        </is>
      </c>
      <c r="B14" t="n">
        <v>1</v>
      </c>
    </row>
    <row r="15">
      <c r="A15" t="inlineStr">
        <is>
          <t>Желаемый месячный доход, руб.</t>
        </is>
      </c>
      <c r="B15" t="n">
        <v>220000</v>
      </c>
    </row>
    <row r="16">
      <c r="A16" t="inlineStr">
        <is>
          <t>Фонд рабочего времени, ч</t>
        </is>
      </c>
      <c r="B16" t="n">
        <v>176</v>
      </c>
    </row>
    <row r="17">
      <c r="A17" t="inlineStr">
        <is>
          <t>Время на продукт, ч</t>
        </is>
      </c>
      <c r="B17" t="n">
        <v>88</v>
      </c>
    </row>
    <row r="18">
      <c r="A18" t="inlineStr">
        <is>
          <t>Цена аналога, руб.</t>
        </is>
      </c>
      <c r="B18" t="n">
        <v>4500</v>
      </c>
    </row>
    <row r="19">
      <c r="A19" t="inlineStr">
        <is>
          <t>Потенциальный доход покупателя, руб.</t>
        </is>
      </c>
      <c r="B19" t="n">
        <v>240000</v>
      </c>
    </row>
    <row r="20">
      <c r="A20" t="inlineStr">
        <is>
          <t>Авторский процент</t>
        </is>
      </c>
      <c r="B20" t="n">
        <v>0.025</v>
      </c>
    </row>
    <row r="21">
      <c r="A21" t="inlineStr">
        <is>
          <t>Продажи аналога по месяцам, ед.</t>
        </is>
      </c>
      <c r="B21" t="n">
        <v>42</v>
      </c>
      <c r="C21" t="n">
        <v>53</v>
      </c>
      <c r="D21" t="n">
        <v>64</v>
      </c>
      <c r="E21" t="n">
        <v>79</v>
      </c>
    </row>
    <row r="23">
      <c r="A23" s="1" t="inlineStr">
        <is>
          <t>Расчет</t>
        </is>
      </c>
      <c r="B23" t="inlineStr">
        <is>
          <t>Значение</t>
        </is>
      </c>
    </row>
    <row r="24">
      <c r="A24" t="inlineStr">
        <is>
          <t>Способ 1: процент к затратам, руб.</t>
        </is>
      </c>
      <c r="B24">
        <f>ROUND((B11+B11*B14)/B13,0)</f>
        <v/>
      </c>
    </row>
    <row r="25">
      <c r="A25" t="inlineStr">
        <is>
          <t>Доля времени</t>
        </is>
      </c>
      <c r="B25">
        <f>ROUND(B17/B16,4)</f>
        <v/>
      </c>
    </row>
    <row r="26">
      <c r="A26" t="inlineStr">
        <is>
          <t>Способ 2: время автора, руб.</t>
        </is>
      </c>
      <c r="B26">
        <f>ROUND(B15*B25/B13,0)</f>
        <v/>
      </c>
    </row>
    <row r="27">
      <c r="A27" t="inlineStr">
        <is>
          <t>Средний месячный прирост</t>
        </is>
      </c>
      <c r="B27">
        <f>ROUND(((C21-B21)/B21+(D21-C21)/C21+(E21-D21)/D21)/3,4)</f>
        <v/>
      </c>
    </row>
    <row r="28">
      <c r="A28" t="inlineStr">
        <is>
          <t>Способ 3: продажи аналога, руб.</t>
        </is>
      </c>
      <c r="B28">
        <f>ROUND(B18*(1+B27),0)</f>
        <v/>
      </c>
    </row>
    <row r="29">
      <c r="A29" t="inlineStr">
        <is>
          <t>Способ 4: доля от полезности, руб.</t>
        </is>
      </c>
      <c r="B29">
        <f>ROUND(B19*B20,0)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2026-10-07T23:13:55Z</dcterms:created>
  <dcterms:modified xmlns:dcterms="http://purl.org/dc/terms/" xmlns:xsi="http://www.w3.org/2001/XMLSchema-instance" xsi:type="dcterms:W3CDTF">2026-10-07T23:13:55Z</dcterms:modified>
</cp:coreProperties>
</file>