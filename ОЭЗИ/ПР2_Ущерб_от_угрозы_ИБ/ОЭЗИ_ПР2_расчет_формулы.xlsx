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2_ущер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ПР2. Чистая прибыль и упущенная выгода (формулы (1)-(4))</t>
        </is>
      </c>
    </row>
    <row r="3">
      <c r="A3" t="inlineStr">
        <is>
          <t>Тр, изд./час</t>
        </is>
      </c>
      <c r="B3" t="n">
        <v>0.5</v>
      </c>
    </row>
    <row r="4">
      <c r="A4" t="inlineStr">
        <is>
          <t>ТФР, ч</t>
        </is>
      </c>
      <c r="B4" t="n">
        <v>1760</v>
      </c>
    </row>
    <row r="5">
      <c r="A5" t="inlineStr">
        <is>
          <t>Ц, руб.</t>
        </is>
      </c>
      <c r="B5" t="n">
        <v>25000</v>
      </c>
    </row>
    <row r="6">
      <c r="A6" t="inlineStr">
        <is>
          <t>Сб (план), руб.</t>
        </is>
      </c>
      <c r="B6" t="n">
        <v>11000000</v>
      </c>
    </row>
    <row r="7">
      <c r="A7" t="inlineStr">
        <is>
          <t>Ур, руб.</t>
        </is>
      </c>
      <c r="B7" t="n">
        <v>2500000</v>
      </c>
    </row>
    <row r="8">
      <c r="A8" t="inlineStr">
        <is>
          <t>Кр, руб.</t>
        </is>
      </c>
      <c r="B8" t="n">
        <v>1800000</v>
      </c>
    </row>
    <row r="9">
      <c r="A9" t="inlineStr">
        <is>
          <t>Пр, руб.</t>
        </is>
      </c>
      <c r="B9" t="n">
        <v>200000</v>
      </c>
    </row>
    <row r="10">
      <c r="A10" t="inlineStr">
        <is>
          <t>Ставка налога</t>
        </is>
      </c>
      <c r="B10" t="n">
        <v>0.2</v>
      </c>
    </row>
    <row r="12">
      <c r="A12" s="1" t="inlineStr">
        <is>
          <t>Показатель</t>
        </is>
      </c>
      <c r="B12" s="1" t="inlineStr">
        <is>
          <t>План</t>
        </is>
      </c>
      <c r="C12" s="1" t="inlineStr">
        <is>
          <t>Угроза без СЗИ</t>
        </is>
      </c>
      <c r="D12" s="1" t="inlineStr">
        <is>
          <t>Угроза со СЗИ</t>
        </is>
      </c>
    </row>
    <row r="13">
      <c r="A13" t="inlineStr">
        <is>
          <t>Тпр, ч</t>
        </is>
      </c>
      <c r="B13" t="n">
        <v>160</v>
      </c>
      <c r="C13" t="n">
        <v>560</v>
      </c>
      <c r="D13" t="n">
        <v>240</v>
      </c>
    </row>
    <row r="14">
      <c r="A14" t="inlineStr">
        <is>
          <t>Шт, руб.</t>
        </is>
      </c>
      <c r="B14" t="n">
        <v>0</v>
      </c>
      <c r="C14" t="n">
        <v>500000</v>
      </c>
      <c r="D14" t="n">
        <v>100000</v>
      </c>
    </row>
    <row r="15">
      <c r="A15" t="inlineStr">
        <is>
          <t>ТФ, ч</t>
        </is>
      </c>
      <c r="B15">
        <f>$B$4-B13</f>
        <v/>
      </c>
      <c r="C15">
        <f>$B$4-C13</f>
        <v/>
      </c>
      <c r="D15">
        <f>$B$4-D13</f>
        <v/>
      </c>
    </row>
    <row r="16">
      <c r="A16" t="inlineStr">
        <is>
          <t>Q, изд.</t>
        </is>
      </c>
      <c r="B16">
        <f>$B$3*B15</f>
        <v/>
      </c>
      <c r="C16">
        <f>$B$3*C15</f>
        <v/>
      </c>
      <c r="D16">
        <f>$B$3*D15</f>
        <v/>
      </c>
    </row>
    <row r="17">
      <c r="A17" t="inlineStr">
        <is>
          <t>Выручка, руб.</t>
        </is>
      </c>
      <c r="B17">
        <f>B16*$B$5</f>
        <v/>
      </c>
      <c r="C17">
        <f>C16*$B$5</f>
        <v/>
      </c>
      <c r="D17">
        <f>D16*$B$5</f>
        <v/>
      </c>
    </row>
    <row r="18">
      <c r="A18" t="inlineStr">
        <is>
          <t>Сб, руб.</t>
        </is>
      </c>
      <c r="B18">
        <f>$B$6*B16/$B$16</f>
        <v/>
      </c>
      <c r="C18">
        <f>$B$6*C16/$B$16</f>
        <v/>
      </c>
      <c r="D18">
        <f>$B$6*D16/$B$16</f>
        <v/>
      </c>
    </row>
    <row r="19">
      <c r="A19" t="inlineStr">
        <is>
          <t>Прибыль до налога, руб.</t>
        </is>
      </c>
      <c r="B19">
        <f>B17-B18-$B$7-$B$8-B14-$B$9</f>
        <v/>
      </c>
      <c r="C19">
        <f>C17-C18-$B$7-$B$8-C14-$B$9</f>
        <v/>
      </c>
      <c r="D19">
        <f>D17-D18-$B$7-$B$8-D14-$B$9</f>
        <v/>
      </c>
    </row>
    <row r="20">
      <c r="A20" t="inlineStr">
        <is>
          <t>Нл, руб.</t>
        </is>
      </c>
      <c r="B20">
        <f>MAX(0,$B$10*B19)</f>
        <v/>
      </c>
      <c r="C20">
        <f>MAX(0,$B$10*C19)</f>
        <v/>
      </c>
      <c r="D20">
        <f>MAX(0,$B$10*D19)</f>
        <v/>
      </c>
    </row>
    <row r="21">
      <c r="A21" t="inlineStr">
        <is>
          <t>ЧП, руб.</t>
        </is>
      </c>
      <c r="B21">
        <f>B19-B20</f>
        <v/>
      </c>
      <c r="C21">
        <f>C19-C20</f>
        <v/>
      </c>
      <c r="D21">
        <f>D19-D20</f>
        <v/>
      </c>
    </row>
    <row r="22">
      <c r="A22" t="inlineStr">
        <is>
          <t>Упущенная выгода, руб.</t>
        </is>
      </c>
      <c r="B22">
        <f>$B$21-B21</f>
        <v/>
      </c>
      <c r="C22">
        <f>$B$21-C21</f>
        <v/>
      </c>
      <c r="D22">
        <f>$B$21-D21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2026-10-07T23:15:03Z</dcterms:created>
  <dcterms:modified xmlns:dcterms="http://purl.org/dc/terms/" xmlns:xsi="http://www.w3.org/2001/XMLSchema-instance" xsi:type="dcterms:W3CDTF">2026-10-07T23:15:03Z</dcterms:modified>
</cp:coreProperties>
</file>